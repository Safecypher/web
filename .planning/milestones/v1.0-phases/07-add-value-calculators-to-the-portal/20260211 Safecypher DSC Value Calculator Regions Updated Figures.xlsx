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Jeff Slawsky\Documents\J. Slawsky &amp; Associates, Inc\Safecypher\Financials\"/>
    </mc:Choice>
  </mc:AlternateContent>
  <xr:revisionPtr revIDLastSave="0" documentId="8_{B9357612-3CA2-4DFC-811D-53D5DDAD0DFD}" xr6:coauthVersionLast="47" xr6:coauthVersionMax="47" xr10:uidLastSave="{00000000-0000-0000-0000-000000000000}"/>
  <bookViews>
    <workbookView xWindow="-108" yWindow="612" windowWidth="23256" windowHeight="14136" xr2:uid="{00000000-000D-0000-FFFF-FFFF00000000}"/>
  </bookViews>
  <sheets>
    <sheet name="Safecypher Value Calculator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7" l="1"/>
  <c r="E76" i="7"/>
  <c r="F77" i="7"/>
  <c r="F76" i="7"/>
  <c r="E106" i="7"/>
  <c r="E105" i="7"/>
  <c r="E104" i="7"/>
  <c r="F54" i="7"/>
  <c r="E54" i="7"/>
  <c r="F52" i="7"/>
  <c r="A4" i="7"/>
  <c r="C89" i="7"/>
  <c r="E89" i="7"/>
  <c r="E52" i="7"/>
  <c r="C28" i="7" l="1"/>
  <c r="G76" i="7"/>
  <c r="G6" i="7" s="1"/>
  <c r="F50" i="7"/>
  <c r="F70" i="7" s="1"/>
  <c r="E50" i="7"/>
  <c r="E61" i="7" s="1"/>
  <c r="E51" i="7" l="1"/>
  <c r="E56" i="7" s="1"/>
  <c r="E69" i="7" s="1"/>
  <c r="E70" i="7"/>
  <c r="G70" i="7" s="1"/>
  <c r="F61" i="7"/>
  <c r="G77" i="7"/>
  <c r="H6" i="7" s="1"/>
  <c r="F51" i="7"/>
  <c r="F55" i="7" s="1"/>
  <c r="G50" i="7"/>
  <c r="E55" i="7" l="1"/>
  <c r="G55" i="7" s="1"/>
  <c r="E53" i="7"/>
  <c r="E71" i="7"/>
  <c r="E93" i="7" s="1"/>
  <c r="F56" i="7"/>
  <c r="F53" i="7"/>
  <c r="G61" i="7"/>
  <c r="G51" i="7"/>
  <c r="E60" i="7"/>
  <c r="E72" i="7" l="1"/>
  <c r="E98" i="7"/>
  <c r="F69" i="7"/>
  <c r="F71" i="7" s="1"/>
  <c r="G53" i="7"/>
  <c r="G56" i="7"/>
  <c r="F60" i="7"/>
  <c r="F62" i="7" s="1"/>
  <c r="E62" i="7"/>
  <c r="E92" i="7" s="1"/>
  <c r="E97" i="7" s="1"/>
  <c r="G60" i="7" l="1"/>
  <c r="G69" i="7"/>
  <c r="F63" i="7"/>
  <c r="F65" i="7" s="1"/>
  <c r="F92" i="7"/>
  <c r="F97" i="7" s="1"/>
  <c r="F72" i="7"/>
  <c r="G72" i="7" s="1"/>
  <c r="F93" i="7"/>
  <c r="A6" i="7"/>
  <c r="C107" i="7"/>
  <c r="D107" i="7" s="1"/>
  <c r="C106" i="7"/>
  <c r="C105" i="7"/>
  <c r="C104" i="7"/>
  <c r="E63" i="7"/>
  <c r="G62" i="7"/>
  <c r="G71" i="7"/>
  <c r="D105" i="7" l="1"/>
  <c r="D106" i="7"/>
  <c r="D104" i="7"/>
  <c r="F98" i="7"/>
  <c r="G98" i="7" s="1"/>
  <c r="G93" i="7"/>
  <c r="G97" i="7"/>
  <c r="G92" i="7"/>
  <c r="E65" i="7"/>
  <c r="G63" i="7"/>
  <c r="G65" i="7" s="1"/>
  <c r="E6" i="7" l="1"/>
  <c r="B6" i="7"/>
  <c r="F6" i="7"/>
  <c r="C6" i="7"/>
  <c r="D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Phillips</author>
  </authors>
  <commentList>
    <comment ref="C39" authorId="0" shapeId="0" xr:uid="{CA566009-5DC8-CF46-9396-B17E083D7711}">
      <text>
        <r>
          <rPr>
            <b/>
            <sz val="10"/>
            <color rgb="FF000000"/>
            <rFont val="Tahoma"/>
            <family val="2"/>
          </rPr>
          <t>Mark Phillips: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Type either:
</t>
        </r>
        <r>
          <rPr>
            <sz val="10"/>
            <color rgb="FF000000"/>
            <rFont val="Tahoma"/>
            <family val="2"/>
          </rPr>
          <t xml:space="preserve">• Multiplier (cost per £1 of fraud)
</t>
        </r>
        <r>
          <rPr>
            <sz val="10"/>
            <color rgb="FF000000"/>
            <rFont val="Tahoma"/>
            <family val="2"/>
          </rPr>
          <t>• Fixed Amount (fixed £ cost per case)</t>
        </r>
      </text>
    </comment>
    <comment ref="D39" authorId="0" shapeId="0" xr:uid="{FCA81C12-4119-A043-ADF6-75E7388B51DB}">
      <text>
        <r>
          <rPr>
            <b/>
            <sz val="10"/>
            <color rgb="FF000000"/>
            <rFont val="Tahoma"/>
            <family val="2"/>
          </rPr>
          <t>Mark Phillips: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Type either:
</t>
        </r>
        <r>
          <rPr>
            <sz val="10"/>
            <color rgb="FF000000"/>
            <rFont val="Tahoma"/>
            <family val="2"/>
          </rPr>
          <t xml:space="preserve">• Multiplier (cost per £1 of fraud)
</t>
        </r>
        <r>
          <rPr>
            <sz val="10"/>
            <color rgb="FF000000"/>
            <rFont val="Tahoma"/>
            <family val="2"/>
          </rPr>
          <t>• Fixed Amount (fixed £ cost per case)</t>
        </r>
      </text>
    </comment>
    <comment ref="C84" authorId="0" shapeId="0" xr:uid="{3C35139A-A209-E441-9AB5-4CAC10468BA8}">
      <text>
        <r>
          <rPr>
            <b/>
            <sz val="10"/>
            <color rgb="FF000000"/>
            <rFont val="Tahoma"/>
            <family val="2"/>
          </rPr>
          <t>Mark Phillips: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Type either:
</t>
        </r>
        <r>
          <rPr>
            <sz val="10"/>
            <color rgb="FF000000"/>
            <rFont val="Tahoma"/>
            <family val="2"/>
          </rPr>
          <t xml:space="preserve">• Direct Only
</t>
        </r>
        <r>
          <rPr>
            <sz val="10"/>
            <color rgb="FF000000"/>
            <rFont val="Tahoma"/>
            <family val="2"/>
          </rPr>
          <t>• Direct + Halo Effect</t>
        </r>
      </text>
    </comment>
  </commentList>
</comments>
</file>

<file path=xl/sharedStrings.xml><?xml version="1.0" encoding="utf-8"?>
<sst xmlns="http://schemas.openxmlformats.org/spreadsheetml/2006/main" count="129" uniqueCount="119">
  <si>
    <t>Breakeven (Days)</t>
  </si>
  <si>
    <t>Fraud rate</t>
  </si>
  <si>
    <t>DEBIT</t>
  </si>
  <si>
    <t>CREDIT</t>
  </si>
  <si>
    <t>Safecypher Value Calculator</t>
  </si>
  <si>
    <t>Year 1 Net Savings</t>
  </si>
  <si>
    <t>Ongoing Net Savings</t>
  </si>
  <si>
    <t>Year 1 Breakeven</t>
  </si>
  <si>
    <t>Monthly Savings (Yr 1)</t>
  </si>
  <si>
    <t>Monthly Savings (Ongoing)</t>
  </si>
  <si>
    <t>Interchange Uplift (Yr 1)</t>
  </si>
  <si>
    <t>Interchange Uplift (Ongoing)</t>
  </si>
  <si>
    <t>BASIC INPUTS — Start Here</t>
  </si>
  <si>
    <t>Enter data for card types you offer. Leave blank or enter 0 for card types you don't offer.</t>
  </si>
  <si>
    <t>Card Portfolio Data</t>
  </si>
  <si>
    <t>Notes</t>
  </si>
  <si>
    <t>Number of accounts</t>
  </si>
  <si>
    <t>Annual CNP transactions</t>
  </si>
  <si>
    <t>Making Safecypher mandatory can drive 90%+ adoption (limited only by customers without mobile apps). Higher adoption = dramatically higher savings.</t>
  </si>
  <si>
    <t>YEAR 1</t>
  </si>
  <si>
    <t>ONGOING</t>
  </si>
  <si>
    <t>Adoption Rate</t>
  </si>
  <si>
    <t>Mobile app development cost</t>
  </si>
  <si>
    <t>ADVANCED INPUTS — Refine Your Estimate</t>
  </si>
  <si>
    <t>Defaults based on industry data. Adjust if you have actual figures.</t>
  </si>
  <si>
    <t>Fraud Parameters</t>
  </si>
  <si>
    <t>Source / Notes</t>
  </si>
  <si>
    <t>% of CNP transactions requiring CVV</t>
  </si>
  <si>
    <t>Total loss per fraud case</t>
  </si>
  <si>
    <t>Issuer % of fraud loss</t>
  </si>
  <si>
    <t>Fee per transaction</t>
  </si>
  <si>
    <t>Subject to commercial agreement</t>
  </si>
  <si>
    <t>Uplift in transactions per adopter</t>
  </si>
  <si>
    <t>RESULTS</t>
  </si>
  <si>
    <t>Calculated Fraud Metrics</t>
  </si>
  <si>
    <t>COMBINED</t>
  </si>
  <si>
    <t>CVV-required transactions</t>
  </si>
  <si>
    <t>Annual fraud cases</t>
  </si>
  <si>
    <t>Issuer loss per fraud case</t>
  </si>
  <si>
    <t>Total institutional cost per case</t>
  </si>
  <si>
    <t>Current annual fraud cost to issuer</t>
  </si>
  <si>
    <t>YEAR 1 SAVINGS</t>
  </si>
  <si>
    <t>Less: Transaction fees</t>
  </si>
  <si>
    <t>Net Year 1 savings</t>
  </si>
  <si>
    <t>Monthly savings (Year 1)</t>
  </si>
  <si>
    <t>Year 1 Breakeven (days)</t>
  </si>
  <si>
    <t>ONGOING SAVINGS (Year 2+)</t>
  </si>
  <si>
    <t>Gross fraud savings (at ongoing adoption)</t>
  </si>
  <si>
    <t>Net ongoing annual savings</t>
  </si>
  <si>
    <t>Monthly savings (ongoing)</t>
  </si>
  <si>
    <t>INTERCHANGE UPLIFT</t>
  </si>
  <si>
    <t>Additional interchange revenue (Year 1)</t>
  </si>
  <si>
    <t>Additional interchange revenue (Ongoing)</t>
  </si>
  <si>
    <t>⚡ ADOPTION RATE SENSITIVITY</t>
  </si>
  <si>
    <t>See how mandatory adoption dramatically increases savings</t>
  </si>
  <si>
    <t>Combined Annual Savings</t>
  </si>
  <si>
    <t>vs. Current</t>
  </si>
  <si>
    <t>← Mandatory</t>
  </si>
  <si>
    <t>One-time</t>
  </si>
  <si>
    <t>Annual</t>
  </si>
  <si>
    <t>Total Year 1 Implementation Cost</t>
  </si>
  <si>
    <t>Setup + Annual fee + Dev</t>
  </si>
  <si>
    <t>Estimate your total CNP fraud savings by using Dynamic Security Code</t>
  </si>
  <si>
    <t>Total active card accounts supplied by MG (TSYS)</t>
  </si>
  <si>
    <t>Total card-not-present transactions per year (TSYS)</t>
  </si>
  <si>
    <t>Average transaction value (conservative assumption)</t>
  </si>
  <si>
    <t>Institutional cost multiplier (per £1 fraud)</t>
  </si>
  <si>
    <t>Issuer losses (£)</t>
  </si>
  <si>
    <t>Total institutional costs (£)</t>
  </si>
  <si>
    <t>Interchange (% of value)</t>
  </si>
  <si>
    <t>Current (CVV required) CNP Fraud Cost</t>
  </si>
  <si>
    <t>Implementation Costs</t>
  </si>
  <si>
    <t>HALO EFFECT — Indirect Fraud Deterrence</t>
  </si>
  <si>
    <t>Fraudsters migrate away from banks with strong security reputations, reducing CNP fraud beyond direct Safecypher protection.</t>
  </si>
  <si>
    <t>Halo Effect Settings</t>
  </si>
  <si>
    <t>Calculation Mode</t>
  </si>
  <si>
    <t>Direct + Halo Effect</t>
  </si>
  <si>
    <t>Choose: "Direct Only" or "Direct + Halo Effect"</t>
  </si>
  <si>
    <t>Peak Halo Multiplier</t>
  </si>
  <si>
    <t>Additional CNP fraud reduction once fully established</t>
  </si>
  <si>
    <t>Months to Peak Effect</t>
  </si>
  <si>
    <t>Time for criminal networks to recognise bank as "safe"</t>
  </si>
  <si>
    <t>Year 1 Halo Calculation</t>
  </si>
  <si>
    <t>Average Year 1 Halo Factor</t>
  </si>
  <si>
    <t>Halo Effect Bonus</t>
  </si>
  <si>
    <t>Year 1 Halo Bonus</t>
  </si>
  <si>
    <t>Ongoing Annual Halo Bonus</t>
  </si>
  <si>
    <t>Total Year 1 Savings</t>
  </si>
  <si>
    <t>Total Ongoing Annual Savings</t>
  </si>
  <si>
    <t>Input Legend:</t>
  </si>
  <si>
    <t>Required Input</t>
  </si>
  <si>
    <t>Optional Input (has default)</t>
  </si>
  <si>
    <t>Calculated / Locked</t>
  </si>
  <si>
    <t>One-time TSYS setup cost</t>
  </si>
  <si>
    <t>Annual TSYS platform fee</t>
  </si>
  <si>
    <t>TOTAL SAVINGS (with/without Halo)</t>
  </si>
  <si>
    <t>Gross fraud savings (at average Yr 1 adoption rate)</t>
  </si>
  <si>
    <t>ADOPTION RATE — Biggest Lever To Improve Savings</t>
  </si>
  <si>
    <t>Institutional cost method</t>
  </si>
  <si>
    <t>Fixed Amount</t>
  </si>
  <si>
    <t>Choose: "Multiplier" or "Fixed Amount"</t>
  </si>
  <si>
    <t>Fixed institutional cost per case (£)</t>
  </si>
  <si>
    <t xml:space="preserve">% of CVV transactions using Safecypher. Mandatory recommended after trial. </t>
  </si>
  <si>
    <t>Input</t>
  </si>
  <si>
    <t>Notes - Prior installations showed very significant decrease in other fraud attacks i.e. a Halo Effect</t>
  </si>
  <si>
    <t>Assumption is that max adoption = 90%</t>
  </si>
  <si>
    <t>Cost per $1 of fraud. 2025 LexisNexis True Cost of Fraud</t>
  </si>
  <si>
    <t>$0.21 + 0.05%</t>
  </si>
  <si>
    <t>$0.10 + 2.34%</t>
  </si>
  <si>
    <t>Regions</t>
  </si>
  <si>
    <t>Average $ per CNP transaction</t>
  </si>
  <si>
    <t>Fixed $ cost per fraud case (e.g. investigation, admin)</t>
  </si>
  <si>
    <t>One-time internal cost - time required based on prior installations</t>
  </si>
  <si>
    <t>Pulse Network 2025 / Industry estimate</t>
  </si>
  <si>
    <t>Kansas City Fed Reserve / Industry average</t>
  </si>
  <si>
    <t>Federal Reserve Board data</t>
  </si>
  <si>
    <t>2024 Clearly Payments / FTC data</t>
  </si>
  <si>
    <t>Additional interchange revenue from transaction uplift</t>
  </si>
  <si>
    <t>An Post saw 50% uplift; 1 = conservative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</si>
</sst>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$&quot;#,##0"/>
    <numFmt numFmtId="165" formatCode="&quot;$&quot;#,##0.00"/>
    <numFmt numFmtId="166" formatCode="0&quot; days&quot;"/>
    <numFmt numFmtId="167" formatCode="0.000%"/>
    <numFmt numFmtId="168" formatCode="[$£-809]#,##0"/>
    <numFmt numFmtId="169" formatCode="[$£-809]#,##0.00"/>
    <numFmt numFmtId="170" formatCode="0.00&quot;x&quot;"/>
    <numFmt numFmtId="171" formatCode="&quot;($&quot;#,##0\)"/>
  </numFmts>
  <fonts count="41">
    <font>
      <sz val="11"/>
      <color theme="1"/>
      <name val="Aptos Narrow"/>
      <family val="2"/>
      <scheme val="minor"/>
    </font>
    <font>
      <sz val="11"/>
      <color theme="1"/>
      <name val="Helvetica Neue"/>
      <family val="2"/>
    </font>
    <font>
      <i/>
      <sz val="11"/>
      <color rgb="FF000000"/>
      <name val="Helvetica Neue"/>
      <family val="2"/>
    </font>
    <font>
      <b/>
      <sz val="14"/>
      <color rgb="FFFFFFFF"/>
      <name val="Helvetica Neue"/>
      <family val="2"/>
    </font>
    <font>
      <b/>
      <sz val="11"/>
      <color theme="1"/>
      <name val="Helvetica Neue"/>
      <family val="2"/>
    </font>
    <font>
      <b/>
      <sz val="12"/>
      <color theme="1"/>
      <name val="Helvetica Neue"/>
      <family val="2"/>
    </font>
    <font>
      <b/>
      <sz val="12"/>
      <color rgb="FFC00000"/>
      <name val="Helvetica Neue"/>
      <family val="2"/>
    </font>
    <font>
      <b/>
      <sz val="12"/>
      <color rgb="FF0070C0"/>
      <name val="Helvetica Neue"/>
      <family val="2"/>
    </font>
    <font>
      <i/>
      <sz val="9"/>
      <color rgb="FF666666"/>
      <name val="Helvetica Neue"/>
      <family val="2"/>
    </font>
    <font>
      <b/>
      <sz val="10"/>
      <color theme="1"/>
      <name val="Helvetica Neue"/>
      <family val="2"/>
    </font>
    <font>
      <b/>
      <sz val="10"/>
      <color rgb="FFC00000"/>
      <name val="Helvetica Neue"/>
      <family val="2"/>
    </font>
    <font>
      <b/>
      <sz val="10"/>
      <color rgb="FF0070C0"/>
      <name val="Helvetica Neue"/>
      <family val="2"/>
    </font>
    <font>
      <b/>
      <sz val="10"/>
      <color rgb="FFFFFFFF"/>
      <name val="Helvetica Neue"/>
      <family val="2"/>
    </font>
    <font>
      <b/>
      <sz val="11"/>
      <color rgb="FFFF0000"/>
      <name val="Helvetica Neue"/>
      <family val="2"/>
    </font>
    <font>
      <b/>
      <sz val="11"/>
      <color rgb="FF00B050"/>
      <name val="Helvetica Neue"/>
      <family val="2"/>
    </font>
    <font>
      <b/>
      <sz val="11"/>
      <color rgb="FF0070C0"/>
      <name val="Helvetica Neue"/>
      <family val="2"/>
    </font>
    <font>
      <i/>
      <sz val="11"/>
      <color rgb="FF666666"/>
      <name val="Helvetica Neue"/>
      <family val="2"/>
    </font>
    <font>
      <i/>
      <sz val="11"/>
      <color rgb="FF0070C0"/>
      <name val="Helvetica Neue"/>
      <family val="2"/>
    </font>
    <font>
      <b/>
      <sz val="11"/>
      <color rgb="FF000000"/>
      <name val="Helvetica Neue"/>
      <family val="2"/>
    </font>
    <font>
      <b/>
      <i/>
      <sz val="10"/>
      <color rgb="FF666666"/>
      <name val="Helvetica Neue"/>
      <family val="2"/>
    </font>
    <font>
      <sz val="11"/>
      <color rgb="FFFF0000"/>
      <name val="Helvetica Neue"/>
      <family val="2"/>
    </font>
    <font>
      <sz val="11"/>
      <color rgb="FF00B050"/>
      <name val="Helvetica Neue"/>
      <family val="2"/>
    </font>
    <font>
      <sz val="11"/>
      <name val="Helvetica Neue"/>
      <family val="2"/>
    </font>
    <font>
      <sz val="11"/>
      <color rgb="FF0000FF"/>
      <name val="Helvetica Neue"/>
      <family val="2"/>
    </font>
    <font>
      <b/>
      <sz val="11"/>
      <color rgb="FF0000FF"/>
      <name val="Helvetica Neue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24"/>
      <color rgb="FFFF0000"/>
      <name val="Helvetica Neue"/>
      <family val="2"/>
    </font>
    <font>
      <b/>
      <sz val="24"/>
      <color rgb="FF00B050"/>
      <name val="Helvetica Neue"/>
      <family val="2"/>
    </font>
    <font>
      <b/>
      <sz val="24"/>
      <color rgb="FF0070C0"/>
      <name val="Helvetica Neue"/>
      <family val="2"/>
    </font>
    <font>
      <sz val="24"/>
      <color theme="1"/>
      <name val="Helvetica Neue"/>
      <family val="2"/>
    </font>
    <font>
      <b/>
      <sz val="14"/>
      <color theme="1"/>
      <name val="Helvetica Neue"/>
      <family val="2"/>
    </font>
    <font>
      <sz val="14"/>
      <color theme="1"/>
      <name val="Helvetica Neue"/>
      <family val="2"/>
    </font>
    <font>
      <b/>
      <sz val="11"/>
      <color theme="0"/>
      <name val="Helvetica Neue"/>
      <family val="2"/>
    </font>
    <font>
      <sz val="11"/>
      <color theme="0"/>
      <name val="Helvetica Neue"/>
      <family val="2"/>
    </font>
    <font>
      <b/>
      <sz val="11"/>
      <color rgb="FF666666"/>
      <name val="Helvetica Neue"/>
      <family val="2"/>
    </font>
    <font>
      <sz val="11"/>
      <color rgb="FF000000"/>
      <name val="Helvetica Neue"/>
      <family val="2"/>
    </font>
    <font>
      <sz val="11"/>
      <color rgb="FF999999"/>
      <name val="Helvetica Neue"/>
      <family val="2"/>
    </font>
    <font>
      <sz val="11"/>
      <color theme="1"/>
      <name val="Aptos Narrow"/>
      <family val="2"/>
      <scheme val="minor"/>
    </font>
    <font>
      <b/>
      <sz val="36"/>
      <color theme="0"/>
      <name val="Helvetica Neue"/>
      <family val="2"/>
    </font>
    <font>
      <sz val="36"/>
      <color theme="0"/>
      <name val="Helvetica Neue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AC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8" fillId="0" borderId="0" applyFont="0" applyFill="0" applyBorder="0" applyAlignment="0" applyProtection="0"/>
  </cellStyleXfs>
  <cellXfs count="95">
    <xf numFmtId="0" fontId="0" fillId="0" borderId="0" xfId="0"/>
    <xf numFmtId="169" fontId="23" fillId="2" borderId="2" xfId="0" applyNumberFormat="1" applyFont="1" applyFill="1" applyBorder="1" applyAlignment="1" applyProtection="1">
      <alignment horizontal="center"/>
      <protection locked="0"/>
    </xf>
    <xf numFmtId="9" fontId="24" fillId="2" borderId="2" xfId="0" applyNumberFormat="1" applyFont="1" applyFill="1" applyBorder="1" applyAlignment="1" applyProtection="1">
      <alignment horizontal="center"/>
      <protection locked="0"/>
    </xf>
    <xf numFmtId="9" fontId="23" fillId="7" borderId="2" xfId="0" applyNumberFormat="1" applyFont="1" applyFill="1" applyBorder="1" applyAlignment="1" applyProtection="1">
      <alignment horizontal="center"/>
      <protection locked="0"/>
    </xf>
    <xf numFmtId="167" fontId="23" fillId="7" borderId="2" xfId="0" applyNumberFormat="1" applyFont="1" applyFill="1" applyBorder="1" applyAlignment="1" applyProtection="1">
      <alignment horizontal="center"/>
      <protection locked="0"/>
    </xf>
    <xf numFmtId="10" fontId="23" fillId="7" borderId="2" xfId="0" applyNumberFormat="1" applyFont="1" applyFill="1" applyBorder="1" applyAlignment="1" applyProtection="1">
      <alignment horizontal="center"/>
      <protection locked="0"/>
    </xf>
    <xf numFmtId="164" fontId="23" fillId="7" borderId="2" xfId="0" applyNumberFormat="1" applyFont="1" applyFill="1" applyBorder="1" applyAlignment="1" applyProtection="1">
      <alignment horizontal="center"/>
      <protection locked="0"/>
    </xf>
    <xf numFmtId="165" fontId="23" fillId="7" borderId="2" xfId="0" applyNumberFormat="1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Alignment="1" applyProtection="1">
      <alignment horizontal="center"/>
      <protection locked="0"/>
    </xf>
    <xf numFmtId="1" fontId="23" fillId="7" borderId="2" xfId="0" applyNumberFormat="1" applyFont="1" applyFill="1" applyBorder="1" applyAlignment="1" applyProtection="1">
      <alignment horizontal="center"/>
      <protection locked="0"/>
    </xf>
    <xf numFmtId="165" fontId="23" fillId="2" borderId="2" xfId="0" applyNumberFormat="1" applyFont="1" applyFill="1" applyBorder="1" applyAlignment="1" applyProtection="1">
      <alignment horizontal="center"/>
      <protection locked="0"/>
    </xf>
    <xf numFmtId="0" fontId="24" fillId="2" borderId="2" xfId="0" applyFont="1" applyFill="1" applyBorder="1" applyAlignment="1" applyProtection="1">
      <alignment horizontal="center"/>
      <protection locked="0"/>
    </xf>
    <xf numFmtId="3" fontId="23" fillId="2" borderId="2" xfId="1" applyNumberFormat="1" applyFont="1" applyFill="1" applyBorder="1" applyAlignment="1" applyProtection="1">
      <alignment horizontal="center"/>
      <protection locked="0"/>
    </xf>
    <xf numFmtId="0" fontId="1" fillId="0" borderId="0" xfId="0" applyFont="1"/>
    <xf numFmtId="170" fontId="1" fillId="0" borderId="0" xfId="0" applyNumberFormat="1" applyFont="1" applyAlignment="1">
      <alignment horizontal="center"/>
    </xf>
    <xf numFmtId="0" fontId="16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33" fillId="12" borderId="0" xfId="0" applyFont="1" applyFill="1"/>
    <xf numFmtId="0" fontId="34" fillId="12" borderId="0" xfId="0" applyFont="1" applyFill="1"/>
    <xf numFmtId="3" fontId="14" fillId="0" borderId="0" xfId="0" applyNumberFormat="1" applyFont="1" applyAlignment="1">
      <alignment horizontal="center"/>
    </xf>
    <xf numFmtId="0" fontId="33" fillId="13" borderId="0" xfId="0" applyFont="1" applyFill="1"/>
    <xf numFmtId="0" fontId="34" fillId="13" borderId="0" xfId="0" applyFont="1" applyFill="1"/>
    <xf numFmtId="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9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17" fillId="0" borderId="0" xfId="0" applyFont="1"/>
    <xf numFmtId="0" fontId="37" fillId="0" borderId="0" xfId="0" applyFont="1"/>
    <xf numFmtId="0" fontId="3" fillId="8" borderId="0" xfId="0" applyFont="1" applyFill="1"/>
    <xf numFmtId="0" fontId="1" fillId="8" borderId="0" xfId="0" applyFont="1" applyFill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22" fillId="0" borderId="0" xfId="0" applyFont="1"/>
    <xf numFmtId="0" fontId="33" fillId="9" borderId="0" xfId="0" applyFont="1" applyFill="1"/>
    <xf numFmtId="0" fontId="1" fillId="9" borderId="0" xfId="0" applyFont="1" applyFill="1"/>
    <xf numFmtId="1" fontId="15" fillId="0" borderId="0" xfId="0" applyNumberFormat="1" applyFont="1" applyAlignment="1">
      <alignment horizontal="center"/>
    </xf>
    <xf numFmtId="0" fontId="33" fillId="10" borderId="0" xfId="0" applyFont="1" applyFill="1"/>
    <xf numFmtId="0" fontId="34" fillId="10" borderId="0" xfId="0" applyFont="1" applyFill="1"/>
    <xf numFmtId="0" fontId="4" fillId="2" borderId="0" xfId="0" applyFont="1" applyFill="1"/>
    <xf numFmtId="0" fontId="1" fillId="2" borderId="0" xfId="0" applyFont="1" applyFill="1"/>
    <xf numFmtId="0" fontId="33" fillId="11" borderId="0" xfId="0" applyFont="1" applyFill="1"/>
    <xf numFmtId="0" fontId="1" fillId="11" borderId="0" xfId="0" applyFont="1" applyFill="1"/>
    <xf numFmtId="0" fontId="8" fillId="0" borderId="0" xfId="0" applyFont="1"/>
    <xf numFmtId="0" fontId="21" fillId="0" borderId="0" xfId="0" applyFont="1"/>
    <xf numFmtId="0" fontId="3" fillId="6" borderId="0" xfId="0" applyFont="1" applyFill="1"/>
    <xf numFmtId="0" fontId="1" fillId="6" borderId="0" xfId="0" applyFont="1" applyFill="1"/>
    <xf numFmtId="0" fontId="20" fillId="0" borderId="0" xfId="0" applyFont="1"/>
    <xf numFmtId="0" fontId="6" fillId="0" borderId="0" xfId="0" applyFont="1"/>
    <xf numFmtId="0" fontId="9" fillId="0" borderId="0" xfId="0" applyFont="1" applyAlignment="1">
      <alignment horizontal="center"/>
    </xf>
    <xf numFmtId="0" fontId="39" fillId="3" borderId="0" xfId="0" applyFont="1" applyFill="1"/>
    <xf numFmtId="0" fontId="40" fillId="3" borderId="0" xfId="0" applyFont="1" applyFill="1"/>
    <xf numFmtId="0" fontId="1" fillId="3" borderId="0" xfId="0" applyFont="1" applyFill="1"/>
    <xf numFmtId="0" fontId="2" fillId="0" borderId="0" xfId="0" applyFont="1"/>
    <xf numFmtId="0" fontId="3" fillId="4" borderId="3" xfId="0" applyFont="1" applyFill="1" applyBorder="1"/>
    <xf numFmtId="0" fontId="1" fillId="4" borderId="9" xfId="0" applyFont="1" applyFill="1" applyBorder="1"/>
    <xf numFmtId="0" fontId="1" fillId="4" borderId="4" xfId="0" applyFont="1" applyFill="1" applyBorder="1"/>
    <xf numFmtId="0" fontId="31" fillId="5" borderId="5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5" borderId="0" xfId="0" applyFont="1" applyFill="1" applyAlignment="1">
      <alignment horizontal="center"/>
    </xf>
    <xf numFmtId="0" fontId="32" fillId="0" borderId="0" xfId="0" applyFont="1"/>
    <xf numFmtId="166" fontId="29" fillId="5" borderId="8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8" fontId="27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35" fillId="0" borderId="0" xfId="0" applyFont="1"/>
    <xf numFmtId="0" fontId="23" fillId="2" borderId="2" xfId="0" applyFont="1" applyFill="1" applyBorder="1" applyAlignment="1">
      <alignment horizontal="center"/>
    </xf>
    <xf numFmtId="0" fontId="23" fillId="7" borderId="2" xfId="0" applyFont="1" applyFill="1" applyBorder="1" applyAlignment="1">
      <alignment horizontal="center"/>
    </xf>
    <xf numFmtId="0" fontId="36" fillId="5" borderId="2" xfId="0" applyFont="1" applyFill="1" applyBorder="1" applyAlignment="1">
      <alignment horizontal="center"/>
    </xf>
    <xf numFmtId="0" fontId="3" fillId="4" borderId="0" xfId="0" applyFont="1" applyFill="1"/>
    <xf numFmtId="0" fontId="1" fillId="4" borderId="0" xfId="0" applyFont="1" applyFill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9" fillId="0" borderId="0" xfId="0" applyFont="1"/>
    <xf numFmtId="165" fontId="22" fillId="0" borderId="0" xfId="0" applyNumberFormat="1" applyFont="1" applyAlignment="1">
      <alignment horizontal="center"/>
    </xf>
    <xf numFmtId="165" fontId="22" fillId="0" borderId="0" xfId="0" applyNumberFormat="1" applyFont="1"/>
    <xf numFmtId="164" fontId="27" fillId="5" borderId="6" xfId="0" applyNumberFormat="1" applyFont="1" applyFill="1" applyBorder="1" applyAlignment="1">
      <alignment horizontal="center" vertical="center"/>
    </xf>
    <xf numFmtId="164" fontId="28" fillId="5" borderId="8" xfId="0" applyNumberFormat="1" applyFont="1" applyFill="1" applyBorder="1" applyAlignment="1">
      <alignment horizontal="center" vertical="center"/>
    </xf>
    <xf numFmtId="164" fontId="28" fillId="5" borderId="7" xfId="0" applyNumberFormat="1" applyFont="1" applyFill="1" applyBorder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23" fillId="7" borderId="9" xfId="0" applyNumberFormat="1" applyFont="1" applyFill="1" applyBorder="1" applyAlignment="1" applyProtection="1">
      <alignment horizontal="center"/>
      <protection locked="0"/>
    </xf>
    <xf numFmtId="17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164" fontId="22" fillId="0" borderId="0" xfId="0" applyNumberFormat="1" applyFont="1"/>
    <xf numFmtId="164" fontId="13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6666"/>
      <color rgb="FF008A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B67C4F-AAE3-544B-BCE3-C331D2BD579A}">
  <we:reference id="wa200009404" version="1.0.0.4" store="en-US" storeType="OMEX"/>
  <we:alternateReferences>
    <we:reference id="WA200009404" version="1.0.0.4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7409-5F0B-CF47-AD92-5D0EAD37B0C9}">
  <dimension ref="A1:H110"/>
  <sheetViews>
    <sheetView tabSelected="1" zoomScale="98" zoomScaleNormal="98" workbookViewId="0">
      <pane ySplit="6" topLeftCell="A7" activePane="bottomLeft" state="frozen"/>
      <selection pane="bottomLeft" activeCell="D16" sqref="D16"/>
    </sheetView>
  </sheetViews>
  <sheetFormatPr defaultColWidth="10.77734375" defaultRowHeight="13.8"/>
  <cols>
    <col min="1" max="1" width="52.6640625" style="13" customWidth="1"/>
    <col min="2" max="8" width="31.77734375" style="13" customWidth="1"/>
    <col min="9" max="16384" width="10.77734375" style="13"/>
  </cols>
  <sheetData>
    <row r="1" spans="1:8" ht="55.95" customHeight="1">
      <c r="A1" s="55" t="s">
        <v>4</v>
      </c>
      <c r="B1" s="56"/>
      <c r="C1" s="56"/>
      <c r="D1" s="55" t="s">
        <v>109</v>
      </c>
      <c r="E1" s="57"/>
      <c r="F1" s="57"/>
      <c r="G1" s="57"/>
      <c r="H1" s="57"/>
    </row>
    <row r="2" spans="1:8" ht="14.4">
      <c r="A2" s="58" t="s">
        <v>62</v>
      </c>
    </row>
    <row r="4" spans="1:8" ht="17.399999999999999">
      <c r="A4" s="59" t="str">
        <f>"SUMMARY DASHBOARD ("&amp;C84&amp;")"</f>
        <v>SUMMARY DASHBOARD (Direct + Halo Effect)</v>
      </c>
      <c r="B4" s="60"/>
      <c r="C4" s="61"/>
      <c r="D4" s="60"/>
      <c r="E4" s="61"/>
      <c r="F4" s="60"/>
      <c r="G4" s="61"/>
      <c r="H4" s="60"/>
    </row>
    <row r="5" spans="1:8" s="65" customFormat="1" ht="17.399999999999999">
      <c r="A5" s="62" t="s">
        <v>70</v>
      </c>
      <c r="B5" s="63" t="s">
        <v>5</v>
      </c>
      <c r="C5" s="64" t="s">
        <v>6</v>
      </c>
      <c r="D5" s="63" t="s">
        <v>7</v>
      </c>
      <c r="E5" s="64" t="s">
        <v>8</v>
      </c>
      <c r="F5" s="63" t="s">
        <v>9</v>
      </c>
      <c r="G5" s="64" t="s">
        <v>10</v>
      </c>
      <c r="H5" s="63" t="s">
        <v>11</v>
      </c>
    </row>
    <row r="6" spans="1:8" s="67" customFormat="1" ht="40.049999999999997" customHeight="1">
      <c r="A6" s="83">
        <f>G56</f>
        <v>23809528.035</v>
      </c>
      <c r="B6" s="84">
        <f>IF(C84="Direct Only",G62,G97)</f>
        <v>3866043.4719062499</v>
      </c>
      <c r="C6" s="85">
        <f>IF(C84="Direct Only",G71,G98)</f>
        <v>14888762.766225003</v>
      </c>
      <c r="D6" s="66">
        <f>G65</f>
        <v>23.85077293363555</v>
      </c>
      <c r="E6" s="85">
        <f>IF(C84="Direct Only",G63,G97/12)</f>
        <v>322170.2893255208</v>
      </c>
      <c r="F6" s="84">
        <f>IF(C84="Direct Only",G72,G98/12)</f>
        <v>1240730.2305187501</v>
      </c>
      <c r="G6" s="85">
        <f>G76</f>
        <v>1120030</v>
      </c>
      <c r="H6" s="84">
        <f>G77</f>
        <v>4032108</v>
      </c>
    </row>
    <row r="7" spans="1:8" s="67" customFormat="1" ht="13.05" customHeight="1">
      <c r="A7" s="68"/>
      <c r="B7" s="69"/>
      <c r="C7" s="69"/>
      <c r="D7" s="70"/>
      <c r="E7" s="69"/>
      <c r="F7" s="69"/>
      <c r="G7" s="69"/>
      <c r="H7" s="69"/>
    </row>
    <row r="8" spans="1:8" ht="13.05" customHeight="1">
      <c r="A8" s="71" t="s">
        <v>89</v>
      </c>
      <c r="B8" s="72" t="s">
        <v>90</v>
      </c>
      <c r="C8" s="73" t="s">
        <v>91</v>
      </c>
      <c r="D8" s="74" t="s">
        <v>92</v>
      </c>
    </row>
    <row r="9" spans="1:8" ht="13.05" customHeight="1"/>
    <row r="10" spans="1:8" ht="17.399999999999999">
      <c r="A10" s="75" t="s">
        <v>12</v>
      </c>
      <c r="B10" s="76"/>
      <c r="C10" s="76"/>
      <c r="D10" s="76"/>
      <c r="E10" s="76"/>
      <c r="F10" s="76"/>
      <c r="G10" s="76"/>
      <c r="H10" s="76"/>
    </row>
    <row r="11" spans="1:8" ht="14.4">
      <c r="A11" s="15" t="s">
        <v>13</v>
      </c>
    </row>
    <row r="13" spans="1:8" ht="15.6">
      <c r="A13" s="77" t="s">
        <v>14</v>
      </c>
      <c r="C13" s="78" t="s">
        <v>2</v>
      </c>
      <c r="D13" s="79" t="s">
        <v>3</v>
      </c>
      <c r="F13" s="80" t="s">
        <v>15</v>
      </c>
    </row>
    <row r="14" spans="1:8">
      <c r="A14" s="13" t="s">
        <v>16</v>
      </c>
      <c r="C14" s="12">
        <v>5000000</v>
      </c>
      <c r="D14" s="12">
        <v>907000</v>
      </c>
      <c r="F14" s="48" t="s">
        <v>63</v>
      </c>
    </row>
    <row r="15" spans="1:8">
      <c r="A15" s="13" t="s">
        <v>17</v>
      </c>
      <c r="C15" s="12">
        <v>330120000</v>
      </c>
      <c r="D15" s="12">
        <v>93700000</v>
      </c>
      <c r="F15" s="48" t="s">
        <v>64</v>
      </c>
    </row>
    <row r="16" spans="1:8">
      <c r="A16" s="13" t="s">
        <v>110</v>
      </c>
      <c r="C16" s="10">
        <v>62.34</v>
      </c>
      <c r="D16" s="10">
        <v>150</v>
      </c>
      <c r="F16" s="48" t="s">
        <v>65</v>
      </c>
    </row>
    <row r="18" spans="1:7" ht="15.6">
      <c r="A18" s="53" t="s">
        <v>97</v>
      </c>
    </row>
    <row r="19" spans="1:7" ht="14.4">
      <c r="A19" s="15" t="s">
        <v>18</v>
      </c>
    </row>
    <row r="21" spans="1:7">
      <c r="C21" s="54" t="s">
        <v>19</v>
      </c>
      <c r="D21" s="54" t="s">
        <v>20</v>
      </c>
    </row>
    <row r="22" spans="1:7">
      <c r="A22" s="13" t="s">
        <v>21</v>
      </c>
      <c r="C22" s="2">
        <v>0.25</v>
      </c>
      <c r="D22" s="2">
        <v>0.9</v>
      </c>
      <c r="F22" s="48" t="s">
        <v>102</v>
      </c>
    </row>
    <row r="24" spans="1:7">
      <c r="A24" s="16" t="s">
        <v>71</v>
      </c>
    </row>
    <row r="25" spans="1:7">
      <c r="A25" s="13" t="s">
        <v>93</v>
      </c>
      <c r="C25" s="6">
        <v>30000</v>
      </c>
      <c r="E25" s="52"/>
      <c r="F25" s="48" t="s">
        <v>58</v>
      </c>
    </row>
    <row r="26" spans="1:7">
      <c r="A26" s="13" t="s">
        <v>94</v>
      </c>
      <c r="C26" s="6">
        <v>120000</v>
      </c>
      <c r="E26" s="52"/>
      <c r="F26" s="48" t="s">
        <v>59</v>
      </c>
    </row>
    <row r="27" spans="1:7" ht="14.4" thickBot="1">
      <c r="A27" s="13" t="s">
        <v>22</v>
      </c>
      <c r="C27" s="87">
        <v>85000</v>
      </c>
      <c r="F27" s="48" t="s">
        <v>112</v>
      </c>
    </row>
    <row r="28" spans="1:7" ht="14.4" thickBot="1">
      <c r="A28" s="16" t="s">
        <v>60</v>
      </c>
      <c r="C28" s="86">
        <f>C25+C26+C27</f>
        <v>235000</v>
      </c>
      <c r="F28" s="48" t="s">
        <v>61</v>
      </c>
    </row>
    <row r="31" spans="1:7" ht="17.399999999999999">
      <c r="A31" s="50" t="s">
        <v>23</v>
      </c>
      <c r="B31" s="51"/>
      <c r="C31" s="51"/>
      <c r="D31" s="51"/>
      <c r="E31" s="51"/>
      <c r="F31" s="51"/>
      <c r="G31" s="51"/>
    </row>
    <row r="32" spans="1:7" ht="14.4">
      <c r="A32" s="15" t="s">
        <v>24</v>
      </c>
    </row>
    <row r="34" spans="1:7">
      <c r="A34" s="16" t="s">
        <v>25</v>
      </c>
      <c r="C34" s="35" t="s">
        <v>2</v>
      </c>
      <c r="D34" s="36" t="s">
        <v>3</v>
      </c>
      <c r="F34" s="48" t="s">
        <v>26</v>
      </c>
    </row>
    <row r="35" spans="1:7">
      <c r="A35" s="13" t="s">
        <v>27</v>
      </c>
      <c r="C35" s="3">
        <v>0.5</v>
      </c>
      <c r="D35" s="3">
        <v>0.25</v>
      </c>
      <c r="F35" s="48" t="s">
        <v>113</v>
      </c>
    </row>
    <row r="36" spans="1:7">
      <c r="A36" s="13" t="s">
        <v>1</v>
      </c>
      <c r="C36" s="4">
        <v>4.6000000000000001E-4</v>
      </c>
      <c r="D36" s="4">
        <v>1.74E-3</v>
      </c>
      <c r="F36" s="48" t="s">
        <v>114</v>
      </c>
    </row>
    <row r="37" spans="1:7">
      <c r="A37" s="13" t="s">
        <v>28</v>
      </c>
      <c r="C37" s="6">
        <v>101</v>
      </c>
      <c r="D37" s="6">
        <v>303</v>
      </c>
      <c r="E37" s="49"/>
      <c r="F37" s="48" t="s">
        <v>115</v>
      </c>
    </row>
    <row r="38" spans="1:7">
      <c r="A38" s="13" t="s">
        <v>29</v>
      </c>
      <c r="C38" s="3">
        <v>0.35</v>
      </c>
      <c r="D38" s="3">
        <v>0.35</v>
      </c>
      <c r="F38" s="48" t="s">
        <v>116</v>
      </c>
    </row>
    <row r="39" spans="1:7">
      <c r="A39" s="13" t="s">
        <v>98</v>
      </c>
      <c r="C39" s="10" t="s">
        <v>99</v>
      </c>
      <c r="D39" s="1" t="s">
        <v>99</v>
      </c>
      <c r="F39" s="48" t="s">
        <v>100</v>
      </c>
    </row>
    <row r="40" spans="1:7">
      <c r="A40" s="13" t="s">
        <v>66</v>
      </c>
      <c r="C40" s="7">
        <v>5.75</v>
      </c>
      <c r="D40" s="7">
        <v>5.75</v>
      </c>
      <c r="F40" s="48" t="s">
        <v>106</v>
      </c>
    </row>
    <row r="41" spans="1:7">
      <c r="A41" s="13" t="s">
        <v>101</v>
      </c>
      <c r="C41" s="7">
        <v>144</v>
      </c>
      <c r="D41" s="7">
        <v>144</v>
      </c>
      <c r="F41" s="48" t="s">
        <v>111</v>
      </c>
    </row>
    <row r="42" spans="1:7">
      <c r="A42" s="13" t="s">
        <v>30</v>
      </c>
      <c r="C42" s="7">
        <v>0.05</v>
      </c>
      <c r="D42" s="7">
        <v>0.05</v>
      </c>
      <c r="F42" s="48" t="s">
        <v>31</v>
      </c>
    </row>
    <row r="43" spans="1:7">
      <c r="A43" s="13" t="s">
        <v>69</v>
      </c>
      <c r="C43" s="8" t="s">
        <v>107</v>
      </c>
      <c r="D43" s="5" t="s">
        <v>108</v>
      </c>
      <c r="F43" s="48" t="s">
        <v>117</v>
      </c>
    </row>
    <row r="44" spans="1:7">
      <c r="A44" s="13" t="s">
        <v>32</v>
      </c>
      <c r="C44" s="9">
        <v>1</v>
      </c>
      <c r="D44" s="9">
        <v>1</v>
      </c>
      <c r="F44" s="48" t="s">
        <v>118</v>
      </c>
    </row>
    <row r="47" spans="1:7" ht="17.399999999999999">
      <c r="A47" s="33" t="s">
        <v>33</v>
      </c>
      <c r="B47" s="34"/>
      <c r="C47" s="34"/>
      <c r="D47" s="34"/>
      <c r="E47" s="34"/>
      <c r="F47" s="34"/>
      <c r="G47" s="34"/>
    </row>
    <row r="49" spans="1:7">
      <c r="A49" s="16" t="s">
        <v>34</v>
      </c>
      <c r="E49" s="35" t="s">
        <v>2</v>
      </c>
      <c r="F49" s="36" t="s">
        <v>3</v>
      </c>
      <c r="G49" s="37" t="s">
        <v>35</v>
      </c>
    </row>
    <row r="50" spans="1:7">
      <c r="A50" s="13" t="s">
        <v>36</v>
      </c>
      <c r="E50" s="18">
        <f>C15*C35</f>
        <v>165060000</v>
      </c>
      <c r="F50" s="18">
        <f>D15*D35</f>
        <v>23425000</v>
      </c>
      <c r="G50" s="19">
        <f>E50+F50</f>
        <v>188485000</v>
      </c>
    </row>
    <row r="51" spans="1:7">
      <c r="A51" s="13" t="s">
        <v>37</v>
      </c>
      <c r="E51" s="18">
        <f>E50*C36</f>
        <v>75927.600000000006</v>
      </c>
      <c r="F51" s="18">
        <f>F50*D36</f>
        <v>40759.5</v>
      </c>
      <c r="G51" s="19">
        <f>E51+F51</f>
        <v>116687.1</v>
      </c>
    </row>
    <row r="52" spans="1:7" s="38" customFormat="1">
      <c r="A52" s="38" t="s">
        <v>38</v>
      </c>
      <c r="E52" s="81">
        <f>C37*C38</f>
        <v>35.349999999999994</v>
      </c>
      <c r="F52" s="81">
        <f>D37*D38</f>
        <v>106.05</v>
      </c>
      <c r="G52" s="82"/>
    </row>
    <row r="53" spans="1:7" s="38" customFormat="1">
      <c r="A53" s="38" t="s">
        <v>67</v>
      </c>
      <c r="E53" s="92">
        <f>+E52*E51</f>
        <v>2684040.6599999997</v>
      </c>
      <c r="F53" s="92">
        <f>+F52*F51</f>
        <v>4322544.9749999996</v>
      </c>
      <c r="G53" s="90">
        <f>E53+F53</f>
        <v>7006585.6349999998</v>
      </c>
    </row>
    <row r="54" spans="1:7" s="38" customFormat="1">
      <c r="A54" s="38" t="s">
        <v>39</v>
      </c>
      <c r="E54" s="92">
        <f>IF(C39="Multiplier",E52*C40,C41)</f>
        <v>144</v>
      </c>
      <c r="F54" s="92">
        <f>IF(D39="Multiplier",F52*D40,D41)</f>
        <v>144</v>
      </c>
      <c r="G54" s="93"/>
    </row>
    <row r="55" spans="1:7" s="38" customFormat="1">
      <c r="A55" s="38" t="s">
        <v>68</v>
      </c>
      <c r="E55" s="92">
        <f>+E54*E51</f>
        <v>10933574.4</v>
      </c>
      <c r="F55" s="92">
        <f>+F54*F51</f>
        <v>5869368</v>
      </c>
      <c r="G55" s="90">
        <f>E55+F55</f>
        <v>16802942.399999999</v>
      </c>
    </row>
    <row r="56" spans="1:7">
      <c r="A56" s="16" t="s">
        <v>40</v>
      </c>
      <c r="E56" s="94">
        <f>(E51*E52)+(E51*E54)</f>
        <v>13617615.060000001</v>
      </c>
      <c r="F56" s="94">
        <f>(F51*F52)+(F51*F54)</f>
        <v>10191912.975</v>
      </c>
      <c r="G56" s="94">
        <f>E56+F56</f>
        <v>23809528.035</v>
      </c>
    </row>
    <row r="59" spans="1:7">
      <c r="A59" s="39" t="s">
        <v>41</v>
      </c>
      <c r="B59" s="40"/>
      <c r="C59" s="40"/>
      <c r="D59" s="40"/>
      <c r="E59" s="40"/>
      <c r="F59" s="40"/>
      <c r="G59" s="40"/>
    </row>
    <row r="60" spans="1:7">
      <c r="A60" s="13" t="s">
        <v>96</v>
      </c>
      <c r="E60" s="89">
        <f>E56*C22</f>
        <v>3404403.7650000001</v>
      </c>
      <c r="F60" s="89">
        <f>F56*C22</f>
        <v>2547978.2437499999</v>
      </c>
      <c r="G60" s="90">
        <f>E60+F60</f>
        <v>5952382.00875</v>
      </c>
    </row>
    <row r="61" spans="1:7">
      <c r="A61" s="13" t="s">
        <v>42</v>
      </c>
      <c r="E61" s="88">
        <f>E50*C22*C42</f>
        <v>2063250</v>
      </c>
      <c r="F61" s="88">
        <f>F50*C22*D42</f>
        <v>292812.5</v>
      </c>
      <c r="G61" s="88">
        <f>E61+F61</f>
        <v>2356062.5</v>
      </c>
    </row>
    <row r="62" spans="1:7">
      <c r="A62" s="16" t="s">
        <v>43</v>
      </c>
      <c r="E62" s="91">
        <f>E60-E61</f>
        <v>1341153.7650000001</v>
      </c>
      <c r="F62" s="91">
        <f>F60-F61</f>
        <v>2255165.7437499999</v>
      </c>
      <c r="G62" s="91">
        <f>E62+F62</f>
        <v>3596319.50875</v>
      </c>
    </row>
    <row r="63" spans="1:7">
      <c r="A63" s="13" t="s">
        <v>44</v>
      </c>
      <c r="E63" s="89">
        <f>E62/12</f>
        <v>111762.81375000002</v>
      </c>
      <c r="F63" s="89">
        <f>F62/12</f>
        <v>187930.47864583333</v>
      </c>
      <c r="G63" s="90">
        <f>E63+F63</f>
        <v>299693.29239583336</v>
      </c>
    </row>
    <row r="65" spans="1:7">
      <c r="A65" s="16" t="s">
        <v>45</v>
      </c>
      <c r="E65" s="26">
        <f>IFERROR(((C25+C26+C27)/E63)*(365/12),"—")</f>
        <v>63.956126611626807</v>
      </c>
      <c r="F65" s="26">
        <f>IFERROR(((C25+C26+C27)/F63)*(365/12),"—")</f>
        <v>38.03489842718573</v>
      </c>
      <c r="G65" s="41">
        <f>IFERROR(((C25+C26+C27)/G63)*(365/12),"—")</f>
        <v>23.85077293363555</v>
      </c>
    </row>
    <row r="68" spans="1:7">
      <c r="A68" s="42" t="s">
        <v>46</v>
      </c>
      <c r="B68" s="43"/>
      <c r="C68" s="43"/>
      <c r="D68" s="43"/>
      <c r="E68" s="43"/>
      <c r="F68" s="43"/>
      <c r="G68" s="43"/>
    </row>
    <row r="69" spans="1:7">
      <c r="A69" s="13" t="s">
        <v>47</v>
      </c>
      <c r="E69" s="89">
        <f>E56*D22</f>
        <v>12255853.554000001</v>
      </c>
      <c r="F69" s="89">
        <f>F56*D22</f>
        <v>9172721.6775000002</v>
      </c>
      <c r="G69" s="90">
        <f>E69+F69</f>
        <v>21428575.2315</v>
      </c>
    </row>
    <row r="70" spans="1:7">
      <c r="A70" s="13" t="s">
        <v>42</v>
      </c>
      <c r="E70" s="88">
        <f>E50*D22*C42</f>
        <v>7427700</v>
      </c>
      <c r="F70" s="88">
        <f>F50*D22*D42</f>
        <v>1054125</v>
      </c>
      <c r="G70" s="88">
        <f>E70+F70</f>
        <v>8481825</v>
      </c>
    </row>
    <row r="71" spans="1:7">
      <c r="A71" s="16" t="s">
        <v>48</v>
      </c>
      <c r="E71" s="91">
        <f>E69-E70</f>
        <v>4828153.5540000014</v>
      </c>
      <c r="F71" s="91">
        <f>F69-F70</f>
        <v>8118596.6775000002</v>
      </c>
      <c r="G71" s="91">
        <f>E71+F71</f>
        <v>12946750.231500002</v>
      </c>
    </row>
    <row r="72" spans="1:7">
      <c r="A72" s="13" t="s">
        <v>49</v>
      </c>
      <c r="E72" s="89">
        <f>E71/12</f>
        <v>402346.1295000001</v>
      </c>
      <c r="F72" s="89">
        <f>F71/12</f>
        <v>676549.72312500002</v>
      </c>
      <c r="G72" s="90">
        <f>E72+F72</f>
        <v>1078895.8526250001</v>
      </c>
    </row>
    <row r="75" spans="1:7">
      <c r="A75" s="44" t="s">
        <v>50</v>
      </c>
      <c r="B75" s="45"/>
      <c r="C75" s="45"/>
      <c r="D75" s="45"/>
      <c r="E75" s="45"/>
      <c r="F75" s="45"/>
      <c r="G75" s="45"/>
    </row>
    <row r="76" spans="1:7">
      <c r="A76" s="13" t="s">
        <v>51</v>
      </c>
      <c r="E76" s="89">
        <f>IF(C14=0,0,(C14*C44*C16*C22*0.0005)+(C14*C44*C22*0.21))</f>
        <v>301462.5</v>
      </c>
      <c r="F76" s="89">
        <f>IF(D14=0,0,(D14*D44*D16*C22*0.0234)+(D14*D44*C22*0.1))</f>
        <v>818567.5</v>
      </c>
      <c r="G76" s="90">
        <f>E76+F76</f>
        <v>1120030</v>
      </c>
    </row>
    <row r="77" spans="1:7">
      <c r="A77" s="13" t="s">
        <v>52</v>
      </c>
      <c r="E77" s="91">
        <f>IF(C14=0,0,(C14*C44*C16*D22*0.0005)+(C14*C44*D22*0.21))</f>
        <v>1085265</v>
      </c>
      <c r="F77" s="91">
        <f>IF(D14=0,0,(D14*D44*D16*D22*0.0234)+(D14*D44*D22*0.1))</f>
        <v>2946843</v>
      </c>
      <c r="G77" s="91">
        <f>E77+F77</f>
        <v>4032108</v>
      </c>
    </row>
    <row r="80" spans="1:7">
      <c r="A80" s="46" t="s">
        <v>72</v>
      </c>
      <c r="B80" s="47"/>
      <c r="C80" s="47"/>
      <c r="D80" s="47"/>
      <c r="E80" s="47"/>
      <c r="F80" s="47"/>
      <c r="G80" s="47"/>
    </row>
    <row r="81" spans="1:8" ht="14.4">
      <c r="A81" s="15" t="s">
        <v>73</v>
      </c>
    </row>
    <row r="83" spans="1:8">
      <c r="A83" s="16" t="s">
        <v>74</v>
      </c>
      <c r="C83" s="13" t="s">
        <v>103</v>
      </c>
      <c r="E83" s="13" t="s">
        <v>104</v>
      </c>
      <c r="H83" s="32"/>
    </row>
    <row r="84" spans="1:8" ht="14.4">
      <c r="A84" s="13" t="s">
        <v>75</v>
      </c>
      <c r="C84" s="11" t="s">
        <v>76</v>
      </c>
      <c r="E84" s="15" t="s">
        <v>77</v>
      </c>
      <c r="H84" s="32"/>
    </row>
    <row r="85" spans="1:8" ht="14.4">
      <c r="A85" s="13" t="s">
        <v>78</v>
      </c>
      <c r="C85" s="3">
        <v>0.15</v>
      </c>
      <c r="E85" s="15" t="s">
        <v>79</v>
      </c>
      <c r="H85" s="32"/>
    </row>
    <row r="86" spans="1:8" ht="14.4">
      <c r="A86" s="13" t="s">
        <v>80</v>
      </c>
      <c r="C86" s="8">
        <v>12</v>
      </c>
      <c r="E86" s="15" t="s">
        <v>81</v>
      </c>
    </row>
    <row r="88" spans="1:8">
      <c r="A88" s="13" t="s">
        <v>82</v>
      </c>
    </row>
    <row r="89" spans="1:8" ht="14.4">
      <c r="A89" s="13" t="s">
        <v>83</v>
      </c>
      <c r="C89" s="14">
        <f>IF(C86&gt;=12, 1+(C85*(6/12)), 1+(C85*((C86/2)/12)))</f>
        <v>1.075</v>
      </c>
      <c r="E89" s="15" t="str">
        <f>"Ramps from 1.0x to "&amp;TEXT(1+C85,"0.00x")&amp;" over "&amp;C86&amp;" months"</f>
        <v>Ramps from 1.0x to 1.15x over 12 months</v>
      </c>
    </row>
    <row r="91" spans="1:8">
      <c r="A91" s="16" t="s">
        <v>84</v>
      </c>
      <c r="E91" s="17" t="s">
        <v>2</v>
      </c>
      <c r="F91" s="17" t="s">
        <v>3</v>
      </c>
      <c r="G91" s="17" t="s">
        <v>35</v>
      </c>
    </row>
    <row r="92" spans="1:8">
      <c r="A92" s="13" t="s">
        <v>85</v>
      </c>
      <c r="E92" s="89">
        <f>IF(C84="Direct Only",0,E62*(C89-1))</f>
        <v>100586.53237499995</v>
      </c>
      <c r="F92" s="89">
        <f>IF(C84="Direct Only",0,F62*(C89-1))</f>
        <v>169137.43078124989</v>
      </c>
      <c r="G92" s="90">
        <f>E92+F92</f>
        <v>269723.96315624984</v>
      </c>
    </row>
    <row r="93" spans="1:8">
      <c r="A93" s="13" t="s">
        <v>86</v>
      </c>
      <c r="E93" s="89">
        <f>IF(C84="Direct Only",0,E71*C85)</f>
        <v>724223.03310000023</v>
      </c>
      <c r="F93" s="89">
        <f>IF(C84="Direct Only",0,F71*C85)</f>
        <v>1217789.501625</v>
      </c>
      <c r="G93" s="90">
        <f>E93+F93</f>
        <v>1942012.5347250002</v>
      </c>
    </row>
    <row r="96" spans="1:8">
      <c r="A96" s="20" t="s">
        <v>95</v>
      </c>
      <c r="B96" s="21"/>
      <c r="C96" s="21"/>
      <c r="D96" s="21"/>
      <c r="E96" s="21"/>
      <c r="F96" s="21"/>
      <c r="G96" s="21"/>
    </row>
    <row r="97" spans="1:7">
      <c r="A97" s="13" t="s">
        <v>87</v>
      </c>
      <c r="E97" s="89">
        <f>E62+E92</f>
        <v>1441740.2973750001</v>
      </c>
      <c r="F97" s="89">
        <f>F62+F92</f>
        <v>2424303.1745312498</v>
      </c>
      <c r="G97" s="91">
        <f>E97+F97</f>
        <v>3866043.4719062499</v>
      </c>
    </row>
    <row r="98" spans="1:7">
      <c r="A98" s="13" t="s">
        <v>88</v>
      </c>
      <c r="E98" s="89">
        <f>E71+E93</f>
        <v>5552376.587100002</v>
      </c>
      <c r="F98" s="89">
        <f>F71+F93</f>
        <v>9336386.1791249998</v>
      </c>
      <c r="G98" s="91">
        <f>E98+F98</f>
        <v>14888762.766225003</v>
      </c>
    </row>
    <row r="99" spans="1:7">
      <c r="E99" s="18"/>
      <c r="F99" s="18"/>
      <c r="G99" s="22"/>
    </row>
    <row r="100" spans="1:7">
      <c r="E100" s="18"/>
      <c r="F100" s="18"/>
      <c r="G100" s="22"/>
    </row>
    <row r="101" spans="1:7">
      <c r="A101" s="23" t="s">
        <v>53</v>
      </c>
      <c r="B101" s="24"/>
      <c r="C101" s="24"/>
      <c r="D101" s="24"/>
      <c r="E101" s="24"/>
      <c r="F101" s="24"/>
      <c r="G101" s="24"/>
    </row>
    <row r="102" spans="1:7" ht="14.4">
      <c r="A102" s="15" t="s">
        <v>54</v>
      </c>
    </row>
    <row r="103" spans="1:7">
      <c r="B103" s="17" t="s">
        <v>21</v>
      </c>
      <c r="C103" s="17" t="s">
        <v>55</v>
      </c>
      <c r="D103" s="17" t="s">
        <v>0</v>
      </c>
      <c r="E103" s="17" t="s">
        <v>56</v>
      </c>
    </row>
    <row r="104" spans="1:7" ht="14.4">
      <c r="B104" s="25">
        <v>0.25</v>
      </c>
      <c r="C104" s="89">
        <f>(G56*B104)-((E50+F50)*B104*D42)</f>
        <v>3596319.50875</v>
      </c>
      <c r="D104" s="26">
        <f>IFERROR(((C25+C26+C27)/(C104/12))*(365/12),"—")</f>
        <v>23.85077293363555</v>
      </c>
      <c r="E104" s="27" t="str">
        <f>IF(C22=B104,"◀ Current rate","")</f>
        <v>◀ Current rate</v>
      </c>
    </row>
    <row r="105" spans="1:7" ht="14.4">
      <c r="B105" s="25">
        <v>0.5</v>
      </c>
      <c r="C105" s="89">
        <f>(G56*B105)-((E50+F50)*B105*D42)</f>
        <v>7192639.0175000001</v>
      </c>
      <c r="D105" s="26">
        <f>IFERROR(((C25+C26+C27)/(C105/12))*(365/12),"—")</f>
        <v>11.925386466817775</v>
      </c>
      <c r="E105" s="27" t="str">
        <f>IF(C22=B105,"◀ Current rate","")</f>
        <v/>
      </c>
    </row>
    <row r="106" spans="1:7" ht="14.4">
      <c r="B106" s="25">
        <v>0.75</v>
      </c>
      <c r="C106" s="89">
        <f>(G56*B106)-((E50+F50)*B106*D42)</f>
        <v>10788958.526250001</v>
      </c>
      <c r="D106" s="26">
        <f>IFERROR(((C25+C26+C27)/(C106/12))*(365/12),"—")</f>
        <v>7.9502576445451831</v>
      </c>
      <c r="E106" s="27" t="str">
        <f>IF(C22=B106,"◀ Current rate","")</f>
        <v/>
      </c>
    </row>
    <row r="107" spans="1:7" ht="14.4">
      <c r="B107" s="28">
        <v>0.9</v>
      </c>
      <c r="C107" s="91">
        <f>(G56*B107)-((E50+F50)*B107*D42)</f>
        <v>12946750.2315</v>
      </c>
      <c r="D107" s="29">
        <f>IFERROR(((C25+C26+C27)/(C107/12))*(365/12),"—")</f>
        <v>6.6252147037876528</v>
      </c>
      <c r="E107" s="30" t="s">
        <v>57</v>
      </c>
      <c r="F107" s="15" t="s">
        <v>105</v>
      </c>
    </row>
    <row r="110" spans="1:7" ht="14.4">
      <c r="A110" s="31"/>
    </row>
  </sheetData>
  <sheetProtection selectLockedCells="1"/>
  <dataValidations count="2">
    <dataValidation type="list" allowBlank="1" showInputMessage="1" showErrorMessage="1" errorTitle="Invalid Selection" error="Please choose either 'Multiplier' or 'Fixed Amount'." sqref="C39:D39" xr:uid="{9E415FDA-56C8-CF40-BE78-8A5AEC560EC1}">
      <formula1>"Multiplier,Fixed Amount"</formula1>
    </dataValidation>
    <dataValidation type="list" allowBlank="1" showInputMessage="1" showErrorMessage="1" errorTitle="Invalid Selection" error="Please choose either 'Direct Only' or 'Direct + Halo Effect'." sqref="C84" xr:uid="{A97F0663-08BC-8048-B1BA-E271AF77FE1C}">
      <formula1>"Direct Only,Direct + Halo Effect"</formula1>
    </dataValidation>
  </dataValidations>
  <pageMargins left="0.7" right="0.7" top="0.75" bottom="0.75" header="0.3" footer="0.3"/>
  <pageSetup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structionsorGeneralbytheway xmlns="8826f583-3cb3-4d3c-9351-5c5419ce5c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2D2D9971BD1649A32CA258E73D1DE0" ma:contentTypeVersion="5" ma:contentTypeDescription="Create a new document." ma:contentTypeScope="" ma:versionID="62ba0cdef4f08e94523564755c6b7986">
  <xsd:schema xmlns:xsd="http://www.w3.org/2001/XMLSchema" xmlns:xs="http://www.w3.org/2001/XMLSchema" xmlns:p="http://schemas.microsoft.com/office/2006/metadata/properties" xmlns:ns2="8826f583-3cb3-4d3c-9351-5c5419ce5cbc" targetNamespace="http://schemas.microsoft.com/office/2006/metadata/properties" ma:root="true" ma:fieldsID="f9c12b68c9c1a7ac456eded28998f321" ns2:_="">
    <xsd:import namespace="8826f583-3cb3-4d3c-9351-5c5419ce5c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InstructionsorGeneralbythew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6f583-3cb3-4d3c-9351-5c5419ce5c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InstructionsorGeneralbytheway" ma:index="12" nillable="true" ma:displayName="Instructions or General 'by the way'" ma:format="Dropdown" ma:internalName="InstructionsorGeneralbytheway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27BB4B-8879-4903-B817-FF301703A590}">
  <ds:schemaRefs>
    <ds:schemaRef ds:uri="http://schemas.microsoft.com/office/2006/metadata/properties"/>
    <ds:schemaRef ds:uri="http://schemas.microsoft.com/office/infopath/2007/PartnerControls"/>
    <ds:schemaRef ds:uri="8826f583-3cb3-4d3c-9351-5c5419ce5cbc"/>
  </ds:schemaRefs>
</ds:datastoreItem>
</file>

<file path=customXml/itemProps2.xml><?xml version="1.0" encoding="utf-8"?>
<ds:datastoreItem xmlns:ds="http://schemas.openxmlformats.org/officeDocument/2006/customXml" ds:itemID="{0EBB788D-D25A-4AED-A66E-0BBA2C4E1E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267122-34FC-45C6-8782-E97801AB3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6f583-3cb3-4d3c-9351-5c5419ce5c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Safecypher Value Calculator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Torquil MacLeod (student)</dc:creator>
  <cp:keywords/>
  <dc:description/>
  <cp:lastModifiedBy>Jeff Slawsky</cp:lastModifiedBy>
  <cp:revision/>
  <dcterms:created xsi:type="dcterms:W3CDTF">2024-07-22T09:06:17Z</dcterms:created>
  <dcterms:modified xsi:type="dcterms:W3CDTF">2026-02-12T12:37:07Z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0x0101009C2D2D9971BD1649A32CA258E73D1DE0</vt:lpwstr>
  </property>
</Properties>
</file>